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\"/>
    </mc:Choice>
  </mc:AlternateContent>
  <xr:revisionPtr revIDLastSave="0" documentId="13_ncr:1_{6E9FAE03-8D8F-4631-8321-06212CFED231}" xr6:coauthVersionLast="47" xr6:coauthVersionMax="47" xr10:uidLastSave="{00000000-0000-0000-0000-000000000000}"/>
  <bookViews>
    <workbookView xWindow="-120" yWindow="-120" windowWidth="20730" windowHeight="11040" xr2:uid="{6A4C219E-65E0-4F9F-A390-CC42C59B9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6" i="1" l="1"/>
  <c r="G43" i="1"/>
  <c r="G24" i="1"/>
  <c r="G42" i="1"/>
  <c r="G41" i="1"/>
  <c r="G37" i="1"/>
  <c r="G36" i="1"/>
  <c r="G35" i="1"/>
  <c r="G34" i="1"/>
  <c r="G33" i="1"/>
  <c r="G32" i="1"/>
  <c r="G28" i="1"/>
  <c r="G27" i="1"/>
  <c r="G26" i="1"/>
  <c r="G25" i="1"/>
  <c r="G16" i="1"/>
  <c r="G19" i="1"/>
  <c r="G15" i="1"/>
  <c r="G18" i="1"/>
  <c r="G17" i="1"/>
  <c r="G10" i="1"/>
  <c r="G9" i="1"/>
  <c r="G11" i="1" s="1"/>
  <c r="G8" i="1"/>
  <c r="G7" i="1"/>
  <c r="G20" i="1" l="1"/>
</calcChain>
</file>

<file path=xl/sharedStrings.xml><?xml version="1.0" encoding="utf-8"?>
<sst xmlns="http://schemas.openxmlformats.org/spreadsheetml/2006/main" count="110" uniqueCount="61">
  <si>
    <t>Rencana Anggaran Biaya (RAB)</t>
  </si>
  <si>
    <t>Instalasi Jaringan Kampus 10 Lantai</t>
  </si>
  <si>
    <t>Topologi Star Multilayer Switch dengan VLAN per Lantai - Juli 2026</t>
  </si>
  <si>
    <t>No</t>
  </si>
  <si>
    <t>Nama Barang / Jasa</t>
  </si>
  <si>
    <t xml:space="preserve">A. Perangkat Aktif Jaringan </t>
  </si>
  <si>
    <t>Volume</t>
  </si>
  <si>
    <t>Satuan</t>
  </si>
  <si>
    <t>Harga Satuan (Rp)</t>
  </si>
  <si>
    <t>Jumlah Harga</t>
  </si>
  <si>
    <t>Keterangan</t>
  </si>
  <si>
    <t>Router Cisco 2911/K9 (Integrated Services Router, 3x onboard GE)</t>
  </si>
  <si>
    <t>Multilayer Switch Cisco Catalyst WS-C3560X-24T-S (Layer 3, 24 port)</t>
  </si>
  <si>
    <t>Switch Cisco Catalyst WS-C2960+24TC-L (24x10/100 + 2 GigE combo)</t>
  </si>
  <si>
    <t>Access Point Cisco Aironet AIR-CAP2702I-F-K9 (dual-band 802.11ac)</t>
  </si>
  <si>
    <t>Unit</t>
  </si>
  <si>
    <t>Inter-VLAN routing pusat</t>
  </si>
  <si>
    <t>1 unit/lantai</t>
  </si>
  <si>
    <t>Uplink WAN</t>
  </si>
  <si>
    <t xml:space="preserve">SUBTOTAL </t>
  </si>
  <si>
    <t>B. Perangkat Pengguna</t>
  </si>
  <si>
    <t>Laptop</t>
  </si>
  <si>
    <t>Tablet</t>
  </si>
  <si>
    <t>PC Desktop</t>
  </si>
  <si>
    <t>Printer Jaringan</t>
  </si>
  <si>
    <t>Lab / ruang staf per lantai</t>
  </si>
  <si>
    <t>Perangkat mobile staf/dosen</t>
  </si>
  <si>
    <t>Sudah tersedia/BYOD opsional</t>
  </si>
  <si>
    <t>Perangkat mobile tambahan</t>
  </si>
  <si>
    <t>1 unit / lantai</t>
  </si>
  <si>
    <t>SUBTOTAL</t>
  </si>
  <si>
    <t>C. Kabel, Konektor dan Media Transmisi</t>
  </si>
  <si>
    <t>Kabel UTP Cat6 Belden (Roll 305m)</t>
  </si>
  <si>
    <t>RJ45 Connector Cat6 (Pack isi 50pcs)</t>
  </si>
  <si>
    <t>Boot/Pelindung Konektor RJ45</t>
  </si>
  <si>
    <t>Kabel Duct/Trunking PVC + Klem Kabel</t>
  </si>
  <si>
    <t>Roll</t>
  </si>
  <si>
    <t>Pack</t>
  </si>
  <si>
    <t>Pcs</t>
  </si>
  <si>
    <t>Meter</t>
  </si>
  <si>
    <t>D. Perangkat Pendukung dan Aksesoris</t>
  </si>
  <si>
    <t>Rack Server/Network 15U (Ruang Server Pusat)</t>
  </si>
  <si>
    <t>Rack/Wall-Mount 6U (per lantai untuk switch)</t>
  </si>
  <si>
    <t>Patch Panel 24 Port</t>
  </si>
  <si>
    <t>UPS 1000VA (Router &amp; Multilayer Switch)</t>
  </si>
  <si>
    <t>Menempatkan router &amp; multilayer switch</t>
  </si>
  <si>
    <t>1 unit / lantai, terminasi rapi</t>
  </si>
  <si>
    <t>Backup daya perangkat inti</t>
  </si>
  <si>
    <t>Backup daya switch lantai</t>
  </si>
  <si>
    <t>Pelindung sambungan agar tidak mudah rusak</t>
  </si>
  <si>
    <t>Merapikan jalur kabel antar lantai &amp; dalam ruangan</t>
  </si>
  <si>
    <t>Total kebutuhan riil ±976m (backbone 340m 10 lantai + horizontal 544m ke 32 device + cadangan 10%)</t>
  </si>
  <si>
    <t>Kebutuhan ±84 ujung kabel (20 backbone + 64 horizontal) + cadangan</t>
  </si>
  <si>
    <t>E. Jasa Instalasi, Konfigurasi dan Dokumentasi</t>
  </si>
  <si>
    <t>GRAND TOTAL</t>
  </si>
  <si>
    <t>s</t>
  </si>
  <si>
    <t>Jasa Penarikan &amp; Crimping Kabel Backbone/Cross (antar lantai, MLS ke 10 Switch Lantai)</t>
  </si>
  <si>
    <t>Jasa Penarikan &amp; Crimping Kabel Horizontal/Straight (dalam lantai, Switch ke PC/Laptop/Printer/AP)</t>
  </si>
  <si>
    <t>Titik</t>
  </si>
  <si>
    <t>Instalasi antar lantai lebih rumit (riser/shaft)</t>
  </si>
  <si>
    <t>32 device + 2 cadangan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</si>
</sst>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theme="1"/>
      <name val="Calibri "/>
    </font>
    <font>
      <sz val="11"/>
      <color theme="1"/>
      <name val="Calibri "/>
    </font>
    <font>
      <b/>
      <sz val="11"/>
      <color theme="1"/>
      <name val="Calibri "/>
    </font>
    <font>
      <sz val="10"/>
      <color rgb="FF000000"/>
      <name val="Calibri "/>
    </font>
    <font>
      <b/>
      <sz val="12"/>
      <color theme="1"/>
      <name val="Calibri"/>
      <family val="2"/>
      <scheme val="minor"/>
    </font>
    <font>
      <b/>
      <sz val="12"/>
      <color theme="1"/>
      <name val="Calibri 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0" fillId="0" borderId="0" xfId="0" applyAlignme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4" fontId="4" fillId="0" borderId="1" xfId="1" applyFont="1" applyBorder="1"/>
    <xf numFmtId="4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/>
    <xf numFmtId="164" fontId="5" fillId="3" borderId="1" xfId="0" applyNumberFormat="1" applyFont="1" applyFill="1" applyBorder="1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/>
    </xf>
    <xf numFmtId="44" fontId="5" fillId="3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left" vertical="center" wrapText="1"/>
    </xf>
    <xf numFmtId="44" fontId="4" fillId="0" borderId="1" xfId="1" applyFont="1" applyBorder="1" applyAlignment="1">
      <alignment horizontal="right" vertical="center"/>
    </xf>
    <xf numFmtId="4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/>
    </xf>
    <xf numFmtId="44" fontId="5" fillId="3" borderId="1" xfId="0" applyNumberFormat="1" applyFont="1" applyFill="1" applyBorder="1" applyAlignment="1">
      <alignment horizontal="right"/>
    </xf>
    <xf numFmtId="44" fontId="4" fillId="0" borderId="1" xfId="1" applyFont="1" applyBorder="1" applyAlignment="1">
      <alignment vertical="center"/>
    </xf>
    <xf numFmtId="4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6" fillId="3" borderId="1" xfId="2" applyFont="1" applyFill="1" applyBorder="1" applyAlignment="1">
      <alignment horizontal="left" vertical="center" wrapText="1"/>
    </xf>
    <xf numFmtId="0" fontId="4" fillId="3" borderId="1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Border="1" applyAlignment="1"/>
    <xf numFmtId="164" fontId="4" fillId="0" borderId="0" xfId="0" applyNumberFormat="1" applyFont="1" applyBorder="1" applyAlignment="1"/>
    <xf numFmtId="0" fontId="7" fillId="6" borderId="0" xfId="0" applyFont="1" applyFill="1" applyBorder="1" applyAlignment="1">
      <alignment horizontal="center"/>
    </xf>
    <xf numFmtId="164" fontId="8" fillId="6" borderId="0" xfId="0" applyNumberFormat="1" applyFont="1" applyFill="1" applyBorder="1" applyAlignment="1"/>
    <xf numFmtId="0" fontId="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44" fontId="0" fillId="0" borderId="1" xfId="1" applyFont="1" applyBorder="1" applyAlignment="1">
      <alignment vertical="center"/>
    </xf>
    <xf numFmtId="44" fontId="0" fillId="0" borderId="1" xfId="0" applyNumberFormat="1" applyFont="1" applyBorder="1" applyAlignment="1">
      <alignment horizontal="right" vertical="center"/>
    </xf>
    <xf numFmtId="164" fontId="0" fillId="0" borderId="1" xfId="0" applyNumberFormat="1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</cellXfs>
  <cellStyles count="3">
    <cellStyle name="Currency" xfId="1" builtinId="4"/>
    <cellStyle name="Normal" xfId="0" builtinId="0"/>
    <cellStyle name="Normal 2" xfId="2" xr:uid="{34FE69D0-D5A6-4A00-AF1F-104A3FD381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F81D-09B4-4223-8EEE-A30E094E7FAF}">
  <dimension ref="B1:H52"/>
  <sheetViews>
    <sheetView tabSelected="1" topLeftCell="A25" zoomScale="75" workbookViewId="0">
      <selection activeCell="K38" sqref="K38"/>
    </sheetView>
  </sheetViews>
  <sheetFormatPr defaultRowHeight="15"/>
  <cols>
    <col min="2" max="2" width="3.5703125" customWidth="1"/>
    <col min="3" max="3" width="68.28515625" customWidth="1"/>
    <col min="4" max="4" width="9" customWidth="1"/>
    <col min="6" max="6" width="20" customWidth="1"/>
    <col min="7" max="7" width="21.7109375" customWidth="1"/>
    <col min="8" max="8" width="48.28515625" customWidth="1"/>
  </cols>
  <sheetData>
    <row r="1" spans="2:8" ht="18.75" customHeight="1">
      <c r="B1" s="30" t="s">
        <v>0</v>
      </c>
      <c r="C1" s="30"/>
      <c r="D1" s="30"/>
      <c r="E1" s="30"/>
      <c r="F1" s="30"/>
      <c r="G1" s="30"/>
      <c r="H1" s="30"/>
    </row>
    <row r="2" spans="2:8" ht="18.75" customHeight="1">
      <c r="B2" s="31" t="s">
        <v>1</v>
      </c>
      <c r="C2" s="31"/>
      <c r="D2" s="31"/>
      <c r="E2" s="31"/>
      <c r="F2" s="31"/>
      <c r="G2" s="31"/>
      <c r="H2" s="31"/>
    </row>
    <row r="3" spans="2:8" ht="18.75" customHeight="1">
      <c r="B3" s="31" t="s">
        <v>2</v>
      </c>
      <c r="C3" s="31"/>
      <c r="D3" s="31"/>
      <c r="E3" s="31"/>
      <c r="F3" s="31"/>
      <c r="G3" s="31"/>
      <c r="H3" s="31"/>
    </row>
    <row r="4" spans="2:8">
      <c r="B4" s="2"/>
      <c r="C4" s="2"/>
      <c r="D4" s="2"/>
      <c r="E4" s="2"/>
      <c r="F4" s="2"/>
      <c r="G4" s="2"/>
      <c r="H4" s="2"/>
    </row>
    <row r="5" spans="2:8">
      <c r="B5" s="33" t="s">
        <v>5</v>
      </c>
      <c r="C5" s="33"/>
      <c r="D5" s="33"/>
      <c r="E5" s="33"/>
      <c r="F5" s="33"/>
      <c r="G5" s="33"/>
      <c r="H5" s="33"/>
    </row>
    <row r="6" spans="2:8">
      <c r="B6" s="26" t="s">
        <v>3</v>
      </c>
      <c r="C6" s="26" t="s">
        <v>4</v>
      </c>
      <c r="D6" s="26" t="s">
        <v>6</v>
      </c>
      <c r="E6" s="26" t="s">
        <v>7</v>
      </c>
      <c r="F6" s="26" t="s">
        <v>8</v>
      </c>
      <c r="G6" s="26" t="s">
        <v>9</v>
      </c>
      <c r="H6" s="26" t="s">
        <v>10</v>
      </c>
    </row>
    <row r="7" spans="2:8">
      <c r="B7" s="4">
        <v>1</v>
      </c>
      <c r="C7" s="5" t="s">
        <v>11</v>
      </c>
      <c r="D7" s="4">
        <v>1</v>
      </c>
      <c r="E7" s="4" t="s">
        <v>15</v>
      </c>
      <c r="F7" s="6">
        <v>25000000</v>
      </c>
      <c r="G7" s="7">
        <f>SUM(D7*F7)</f>
        <v>25000000</v>
      </c>
      <c r="H7" s="8" t="s">
        <v>18</v>
      </c>
    </row>
    <row r="8" spans="2:8">
      <c r="B8" s="4">
        <v>2</v>
      </c>
      <c r="C8" s="5" t="s">
        <v>12</v>
      </c>
      <c r="D8" s="4">
        <v>1</v>
      </c>
      <c r="E8" s="4" t="s">
        <v>15</v>
      </c>
      <c r="F8" s="9">
        <v>63263000</v>
      </c>
      <c r="G8" s="9">
        <f>SUM(D8*F8)</f>
        <v>63263000</v>
      </c>
      <c r="H8" s="8" t="s">
        <v>16</v>
      </c>
    </row>
    <row r="9" spans="2:8">
      <c r="B9" s="4">
        <v>3</v>
      </c>
      <c r="C9" s="5" t="s">
        <v>13</v>
      </c>
      <c r="D9" s="4">
        <v>10</v>
      </c>
      <c r="E9" s="4" t="s">
        <v>15</v>
      </c>
      <c r="F9" s="9">
        <v>12151000</v>
      </c>
      <c r="G9" s="9">
        <f>SUM(D9*F9)</f>
        <v>121510000</v>
      </c>
      <c r="H9" s="8" t="s">
        <v>17</v>
      </c>
    </row>
    <row r="10" spans="2:8">
      <c r="B10" s="4">
        <v>4</v>
      </c>
      <c r="C10" s="5" t="s">
        <v>14</v>
      </c>
      <c r="D10" s="4">
        <v>10</v>
      </c>
      <c r="E10" s="4" t="s">
        <v>15</v>
      </c>
      <c r="F10" s="9">
        <v>4350000</v>
      </c>
      <c r="G10" s="9">
        <f>SUM(D10*F10)</f>
        <v>43500000</v>
      </c>
      <c r="H10" s="8" t="s">
        <v>17</v>
      </c>
    </row>
    <row r="11" spans="2:8">
      <c r="B11" s="32" t="s">
        <v>19</v>
      </c>
      <c r="C11" s="32"/>
      <c r="D11" s="32"/>
      <c r="E11" s="32"/>
      <c r="F11" s="32"/>
      <c r="G11" s="10">
        <f>SUM(G7:G10)</f>
        <v>253273000</v>
      </c>
      <c r="H11" s="29"/>
    </row>
    <row r="12" spans="2:8">
      <c r="B12" s="2"/>
      <c r="C12" s="2"/>
      <c r="D12" s="2"/>
      <c r="E12" s="2"/>
      <c r="F12" s="2"/>
      <c r="G12" s="2"/>
      <c r="H12" s="2"/>
    </row>
    <row r="13" spans="2:8">
      <c r="B13" s="33" t="s">
        <v>20</v>
      </c>
      <c r="C13" s="33"/>
      <c r="D13" s="33"/>
      <c r="E13" s="33"/>
      <c r="F13" s="33"/>
      <c r="G13" s="33"/>
      <c r="H13" s="33"/>
    </row>
    <row r="14" spans="2:8">
      <c r="B14" s="3" t="s">
        <v>3</v>
      </c>
      <c r="C14" s="3" t="s">
        <v>4</v>
      </c>
      <c r="D14" s="3" t="s">
        <v>6</v>
      </c>
      <c r="E14" s="3" t="s">
        <v>7</v>
      </c>
      <c r="F14" s="3" t="s">
        <v>8</v>
      </c>
      <c r="G14" s="3" t="s">
        <v>9</v>
      </c>
      <c r="H14" s="3" t="s">
        <v>10</v>
      </c>
    </row>
    <row r="15" spans="2:8" ht="15" customHeight="1">
      <c r="B15" s="4">
        <v>1</v>
      </c>
      <c r="C15" s="5" t="s">
        <v>23</v>
      </c>
      <c r="D15" s="4">
        <v>12</v>
      </c>
      <c r="E15" s="4" t="s">
        <v>15</v>
      </c>
      <c r="F15" s="6">
        <v>7000000</v>
      </c>
      <c r="G15" s="7">
        <f>SUM(D15*F15)</f>
        <v>84000000</v>
      </c>
      <c r="H15" s="11" t="s">
        <v>25</v>
      </c>
    </row>
    <row r="16" spans="2:8" ht="16.5" customHeight="1">
      <c r="B16" s="4">
        <v>2</v>
      </c>
      <c r="C16" s="11" t="s">
        <v>21</v>
      </c>
      <c r="D16" s="4">
        <v>12</v>
      </c>
      <c r="E16" s="4" t="s">
        <v>15</v>
      </c>
      <c r="F16" s="9">
        <v>9000000</v>
      </c>
      <c r="G16" s="9">
        <f>SUM(D16*F16)</f>
        <v>108000000</v>
      </c>
      <c r="H16" s="11" t="s">
        <v>26</v>
      </c>
    </row>
    <row r="17" spans="2:8" ht="17.25" customHeight="1">
      <c r="B17" s="4">
        <v>3</v>
      </c>
      <c r="C17" s="5" t="s">
        <v>13</v>
      </c>
      <c r="D17" s="4">
        <v>11</v>
      </c>
      <c r="E17" s="4" t="s">
        <v>15</v>
      </c>
      <c r="F17" s="9">
        <v>2500000</v>
      </c>
      <c r="G17" s="9">
        <f>SUM(D17*F17)</f>
        <v>27500000</v>
      </c>
      <c r="H17" s="11" t="s">
        <v>27</v>
      </c>
    </row>
    <row r="18" spans="2:8">
      <c r="B18" s="4">
        <v>4</v>
      </c>
      <c r="C18" s="11" t="s">
        <v>22</v>
      </c>
      <c r="D18" s="4">
        <v>2</v>
      </c>
      <c r="E18" s="4" t="s">
        <v>15</v>
      </c>
      <c r="F18" s="9">
        <v>8000000</v>
      </c>
      <c r="G18" s="9">
        <f>SUM(D18*F18)</f>
        <v>16000000</v>
      </c>
      <c r="H18" s="11" t="s">
        <v>28</v>
      </c>
    </row>
    <row r="19" spans="2:8">
      <c r="B19" s="12">
        <v>5</v>
      </c>
      <c r="C19" s="11" t="s">
        <v>24</v>
      </c>
      <c r="D19" s="12">
        <v>10</v>
      </c>
      <c r="E19" s="4" t="s">
        <v>15</v>
      </c>
      <c r="F19" s="6">
        <v>3000000</v>
      </c>
      <c r="G19" s="9">
        <f>SUM(D19*F19)</f>
        <v>30000000</v>
      </c>
      <c r="H19" s="11" t="s">
        <v>29</v>
      </c>
    </row>
    <row r="20" spans="2:8">
      <c r="B20" s="32" t="s">
        <v>30</v>
      </c>
      <c r="C20" s="32"/>
      <c r="D20" s="32"/>
      <c r="E20" s="32"/>
      <c r="F20" s="32"/>
      <c r="G20" s="13">
        <f>SUM(G15:G19)</f>
        <v>265500000</v>
      </c>
      <c r="H20" s="29"/>
    </row>
    <row r="21" spans="2:8">
      <c r="B21" s="2"/>
      <c r="C21" s="2"/>
      <c r="D21" s="2"/>
      <c r="E21" s="2"/>
      <c r="F21" s="2"/>
      <c r="G21" s="2"/>
      <c r="H21" s="2"/>
    </row>
    <row r="22" spans="2:8">
      <c r="B22" s="33" t="s">
        <v>31</v>
      </c>
      <c r="C22" s="33"/>
      <c r="D22" s="33"/>
      <c r="E22" s="33"/>
      <c r="F22" s="33"/>
      <c r="G22" s="33"/>
      <c r="H22" s="33"/>
    </row>
    <row r="23" spans="2:8">
      <c r="B23" s="3" t="s">
        <v>3</v>
      </c>
      <c r="C23" s="3" t="s">
        <v>4</v>
      </c>
      <c r="D23" s="3" t="s">
        <v>6</v>
      </c>
      <c r="E23" s="3" t="s">
        <v>7</v>
      </c>
      <c r="F23" s="3" t="s">
        <v>8</v>
      </c>
      <c r="G23" s="3" t="s">
        <v>9</v>
      </c>
      <c r="H23" s="3" t="s">
        <v>10</v>
      </c>
    </row>
    <row r="24" spans="2:8" ht="48" customHeight="1">
      <c r="B24" s="14">
        <v>1</v>
      </c>
      <c r="C24" s="15" t="s">
        <v>32</v>
      </c>
      <c r="D24" s="14">
        <v>4</v>
      </c>
      <c r="E24" s="14" t="s">
        <v>36</v>
      </c>
      <c r="F24" s="16">
        <v>2850000</v>
      </c>
      <c r="G24" s="17">
        <f>SUM(D24*F24)</f>
        <v>11400000</v>
      </c>
      <c r="H24" s="15" t="s">
        <v>51</v>
      </c>
    </row>
    <row r="25" spans="2:8" ht="43.5" customHeight="1">
      <c r="B25" s="14">
        <v>2</v>
      </c>
      <c r="C25" s="15" t="s">
        <v>33</v>
      </c>
      <c r="D25" s="14">
        <v>2</v>
      </c>
      <c r="E25" s="14" t="s">
        <v>37</v>
      </c>
      <c r="F25" s="18">
        <v>455000</v>
      </c>
      <c r="G25" s="18">
        <f>SUM(D25*F25)</f>
        <v>910000</v>
      </c>
      <c r="H25" s="15" t="s">
        <v>52</v>
      </c>
    </row>
    <row r="26" spans="2:8">
      <c r="B26" s="4">
        <v>3</v>
      </c>
      <c r="C26" s="15" t="s">
        <v>34</v>
      </c>
      <c r="D26" s="4">
        <v>100</v>
      </c>
      <c r="E26" s="4" t="s">
        <v>38</v>
      </c>
      <c r="F26" s="19">
        <v>2000</v>
      </c>
      <c r="G26" s="19">
        <f>SUM(D26*F26)</f>
        <v>200000</v>
      </c>
      <c r="H26" s="15" t="s">
        <v>49</v>
      </c>
    </row>
    <row r="27" spans="2:8">
      <c r="B27" s="4">
        <v>4</v>
      </c>
      <c r="C27" s="15" t="s">
        <v>35</v>
      </c>
      <c r="D27" s="4">
        <v>200</v>
      </c>
      <c r="E27" s="4" t="s">
        <v>39</v>
      </c>
      <c r="F27" s="19">
        <v>25000</v>
      </c>
      <c r="G27" s="19">
        <f>SUM(D27*F27)</f>
        <v>5000000</v>
      </c>
      <c r="H27" s="15" t="s">
        <v>50</v>
      </c>
    </row>
    <row r="28" spans="2:8">
      <c r="B28" s="32" t="s">
        <v>30</v>
      </c>
      <c r="C28" s="32"/>
      <c r="D28" s="32"/>
      <c r="E28" s="32"/>
      <c r="F28" s="32"/>
      <c r="G28" s="20">
        <f>SUM(G24:G27)</f>
        <v>17510000</v>
      </c>
      <c r="H28" s="29"/>
    </row>
    <row r="29" spans="2:8">
      <c r="B29" s="2"/>
      <c r="C29" s="2"/>
      <c r="D29" s="2"/>
      <c r="E29" s="2"/>
      <c r="F29" s="2"/>
      <c r="G29" s="2"/>
      <c r="H29" s="2"/>
    </row>
    <row r="30" spans="2:8">
      <c r="B30" s="33" t="s">
        <v>40</v>
      </c>
      <c r="C30" s="33"/>
      <c r="D30" s="33"/>
      <c r="E30" s="33"/>
      <c r="F30" s="33"/>
      <c r="G30" s="33"/>
      <c r="H30" s="33"/>
    </row>
    <row r="31" spans="2:8">
      <c r="B31" s="3" t="s">
        <v>3</v>
      </c>
      <c r="C31" s="3" t="s">
        <v>4</v>
      </c>
      <c r="D31" s="3" t="s">
        <v>6</v>
      </c>
      <c r="E31" s="3" t="s">
        <v>7</v>
      </c>
      <c r="F31" s="3" t="s">
        <v>8</v>
      </c>
      <c r="G31" s="3" t="s">
        <v>9</v>
      </c>
      <c r="H31" s="3" t="s">
        <v>10</v>
      </c>
    </row>
    <row r="32" spans="2:8" ht="17.25" customHeight="1">
      <c r="B32" s="14">
        <v>1</v>
      </c>
      <c r="C32" s="15" t="s">
        <v>41</v>
      </c>
      <c r="D32" s="14">
        <v>1</v>
      </c>
      <c r="E32" s="14" t="s">
        <v>15</v>
      </c>
      <c r="F32" s="21">
        <v>3000000</v>
      </c>
      <c r="G32" s="22">
        <f>SUM(D32*F32)</f>
        <v>3000000</v>
      </c>
      <c r="H32" s="15" t="s">
        <v>45</v>
      </c>
    </row>
    <row r="33" spans="2:8">
      <c r="B33" s="14">
        <v>2</v>
      </c>
      <c r="C33" s="15" t="s">
        <v>42</v>
      </c>
      <c r="D33" s="14">
        <v>10</v>
      </c>
      <c r="E33" s="14" t="s">
        <v>15</v>
      </c>
      <c r="F33" s="23">
        <v>650000</v>
      </c>
      <c r="G33" s="23">
        <f>SUM(D33*F33)</f>
        <v>6500000</v>
      </c>
      <c r="H33" s="15" t="s">
        <v>29</v>
      </c>
    </row>
    <row r="34" spans="2:8">
      <c r="B34" s="14">
        <v>3</v>
      </c>
      <c r="C34" s="15" t="s">
        <v>43</v>
      </c>
      <c r="D34" s="14">
        <v>10</v>
      </c>
      <c r="E34" s="14" t="s">
        <v>15</v>
      </c>
      <c r="F34" s="23">
        <v>450000</v>
      </c>
      <c r="G34" s="23">
        <f>SUM(D34*F34)</f>
        <v>4500000</v>
      </c>
      <c r="H34" s="15" t="s">
        <v>46</v>
      </c>
    </row>
    <row r="35" spans="2:8">
      <c r="B35" s="14">
        <v>4</v>
      </c>
      <c r="C35" s="15" t="s">
        <v>44</v>
      </c>
      <c r="D35" s="14">
        <v>2</v>
      </c>
      <c r="E35" s="14" t="s">
        <v>15</v>
      </c>
      <c r="F35" s="23">
        <v>1500000</v>
      </c>
      <c r="G35" s="23">
        <f>SUM(D35*F35)</f>
        <v>3000000</v>
      </c>
      <c r="H35" s="15" t="s">
        <v>47</v>
      </c>
    </row>
    <row r="36" spans="2:8">
      <c r="B36" s="14">
        <v>5</v>
      </c>
      <c r="C36" s="15" t="s">
        <v>44</v>
      </c>
      <c r="D36" s="24">
        <v>10</v>
      </c>
      <c r="E36" s="14" t="s">
        <v>15</v>
      </c>
      <c r="F36" s="23">
        <v>650000</v>
      </c>
      <c r="G36" s="23">
        <f>SUM(D36*F36)</f>
        <v>6500000</v>
      </c>
      <c r="H36" s="15" t="s">
        <v>48</v>
      </c>
    </row>
    <row r="37" spans="2:8">
      <c r="B37" s="34" t="s">
        <v>30</v>
      </c>
      <c r="C37" s="34"/>
      <c r="D37" s="34"/>
      <c r="E37" s="34"/>
      <c r="F37" s="34"/>
      <c r="G37" s="25">
        <f>SUM(G32:G36)</f>
        <v>23500000</v>
      </c>
      <c r="H37" s="27"/>
    </row>
    <row r="38" spans="2:8">
      <c r="B38" s="2"/>
      <c r="C38" s="2"/>
      <c r="D38" s="2"/>
      <c r="E38" s="2"/>
      <c r="F38" s="2"/>
      <c r="G38" s="2"/>
      <c r="H38" s="2"/>
    </row>
    <row r="39" spans="2:8">
      <c r="B39" s="33" t="s">
        <v>53</v>
      </c>
      <c r="C39" s="33"/>
      <c r="D39" s="33"/>
      <c r="E39" s="33"/>
      <c r="F39" s="33"/>
      <c r="G39" s="33"/>
      <c r="H39" s="33"/>
    </row>
    <row r="40" spans="2:8">
      <c r="B40" s="3" t="s">
        <v>3</v>
      </c>
      <c r="C40" s="3" t="s">
        <v>4</v>
      </c>
      <c r="D40" s="3" t="s">
        <v>6</v>
      </c>
      <c r="E40" s="3" t="s">
        <v>7</v>
      </c>
      <c r="F40" s="3" t="s">
        <v>8</v>
      </c>
      <c r="G40" s="3" t="s">
        <v>9</v>
      </c>
      <c r="H40" s="3" t="s">
        <v>10</v>
      </c>
    </row>
    <row r="41" spans="2:8" ht="25.5">
      <c r="B41" s="39">
        <v>1</v>
      </c>
      <c r="C41" s="40" t="s">
        <v>56</v>
      </c>
      <c r="D41" s="39">
        <v>10</v>
      </c>
      <c r="E41" s="39" t="s">
        <v>58</v>
      </c>
      <c r="F41" s="41">
        <v>250000</v>
      </c>
      <c r="G41" s="42">
        <f>SUM(D41*F41)</f>
        <v>2500000</v>
      </c>
      <c r="H41" s="40" t="s">
        <v>59</v>
      </c>
    </row>
    <row r="42" spans="2:8" ht="25.5">
      <c r="B42" s="39">
        <v>2</v>
      </c>
      <c r="C42" s="40" t="s">
        <v>57</v>
      </c>
      <c r="D42" s="39">
        <v>34</v>
      </c>
      <c r="E42" s="39" t="s">
        <v>58</v>
      </c>
      <c r="F42" s="43">
        <v>150000</v>
      </c>
      <c r="G42" s="44">
        <f>SUM(D42*F42)</f>
        <v>5100000</v>
      </c>
      <c r="H42" s="40" t="s">
        <v>60</v>
      </c>
    </row>
    <row r="43" spans="2:8">
      <c r="B43" s="32" t="s">
        <v>30</v>
      </c>
      <c r="C43" s="32"/>
      <c r="D43" s="32"/>
      <c r="E43" s="32"/>
      <c r="F43" s="32"/>
      <c r="G43" s="10">
        <f>SUM(G41+G42)</f>
        <v>7600000</v>
      </c>
      <c r="H43" s="28"/>
    </row>
    <row r="44" spans="2:8">
      <c r="B44" s="35"/>
      <c r="C44" s="35"/>
      <c r="D44" s="35"/>
      <c r="E44" s="35"/>
      <c r="F44" s="35"/>
      <c r="G44" s="36"/>
      <c r="H44" s="36"/>
    </row>
    <row r="45" spans="2:8">
      <c r="B45" s="35"/>
      <c r="C45" s="35"/>
      <c r="D45" s="35"/>
      <c r="E45" s="35"/>
      <c r="F45" s="35"/>
      <c r="G45" s="36"/>
      <c r="H45" s="36"/>
    </row>
    <row r="46" spans="2:8" ht="15.75">
      <c r="B46" s="37" t="s">
        <v>54</v>
      </c>
      <c r="C46" s="37"/>
      <c r="D46" s="37"/>
      <c r="E46" s="37"/>
      <c r="F46" s="37"/>
      <c r="G46" s="38">
        <f>SUM(G11+G20+G28+G37+G43)</f>
        <v>567383000</v>
      </c>
      <c r="H46" s="36"/>
    </row>
    <row r="47" spans="2:8">
      <c r="B47" s="1"/>
      <c r="C47" s="1"/>
      <c r="D47" s="1"/>
      <c r="E47" s="1"/>
      <c r="F47" s="1"/>
      <c r="G47" s="1"/>
    </row>
    <row r="48" spans="2:8" ht="17.25" customHeight="1">
      <c r="B48" s="1"/>
      <c r="C48" s="1"/>
      <c r="D48" s="1"/>
      <c r="E48" s="1"/>
      <c r="F48" s="1"/>
      <c r="G48" s="1"/>
    </row>
    <row r="49" spans="2:8">
      <c r="B49" s="1"/>
      <c r="C49" s="1"/>
      <c r="D49" s="1"/>
      <c r="E49" s="1"/>
      <c r="F49" s="1"/>
      <c r="G49" s="1"/>
    </row>
    <row r="52" spans="2:8">
      <c r="H52" t="s">
        <v>55</v>
      </c>
    </row>
  </sheetData>
  <mergeCells count="14">
    <mergeCell ref="B30:H30"/>
    <mergeCell ref="B39:H39"/>
    <mergeCell ref="B37:F37"/>
    <mergeCell ref="B43:F43"/>
    <mergeCell ref="B46:F46"/>
    <mergeCell ref="B1:H1"/>
    <mergeCell ref="B2:H2"/>
    <mergeCell ref="B3:H3"/>
    <mergeCell ref="B28:F28"/>
    <mergeCell ref="B5:H5"/>
    <mergeCell ref="B22:H22"/>
    <mergeCell ref="B20:F20"/>
    <mergeCell ref="B11:F11"/>
    <mergeCell ref="B13:H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keysia manalu</dc:creator>
  <cp:lastModifiedBy>keysia manalu</cp:lastModifiedBy>
  <dcterms:created xsi:type="dcterms:W3CDTF">2026-07-06T03:48:05Z</dcterms:created>
  <dcterms:modified xsi:type="dcterms:W3CDTF">2026-07-06T10:56:04Z</dcterms:modified>
</cp:coreProperties>
</file>